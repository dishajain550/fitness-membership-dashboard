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defaultThemeVersion="166925"/>
  <mc:AlternateContent xmlns:mc="http://schemas.openxmlformats.org/markup-compatibility/2006">
    <mc:Choice Requires="x15">
      <x15ac:absPath xmlns:x15ac="http://schemas.microsoft.com/office/spreadsheetml/2010/11/ac" url="https://d.docs.live.net/2b896c41dcea252b/Desktop/"/>
    </mc:Choice>
  </mc:AlternateContent>
  <xr:revisionPtr revIDLastSave="1" documentId="8_{173DECF9-1E9B-4A9B-AF8E-C40E1373A8AE}" xr6:coauthVersionLast="47" xr6:coauthVersionMax="47" xr10:uidLastSave="{3B1ED167-5207-4720-9D52-99F092AB03E7}"/>
  <bookViews>
    <workbookView xWindow="-110" yWindow="-110" windowWidth="19420" windowHeight="10300" xr2:uid="{532F12D6-1C05-4980-8107-3B7A574F526F}"/>
  </bookViews>
  <sheets>
    <sheet name="Sheet3" sheetId="3" r:id="rId1"/>
    <sheet name="Sheet4" sheetId="4" r:id="rId2"/>
    <sheet name="Sheet1" sheetId="1" r:id="rId3"/>
  </sheets>
  <definedNames>
    <definedName name="Slicer_Age">#N/A</definedName>
    <definedName name="Slicer_Payment_Method">#N/A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<sst xmlns="http://schemas.openxmlformats.org/spreadsheetml/2006/main" count="95" uniqueCount="53">
  <si>
    <t>Member ID</t>
  </si>
  <si>
    <t>Join Date</t>
  </si>
  <si>
    <t>Member Name</t>
  </si>
  <si>
    <t>Gender</t>
  </si>
  <si>
    <t>Age</t>
  </si>
  <si>
    <t>Membership Type</t>
  </si>
  <si>
    <t>Duration (Months)</t>
  </si>
  <si>
    <t>Trainer Assigned</t>
  </si>
  <si>
    <t>Workout Plan</t>
  </si>
  <si>
    <t>Monthly Fee</t>
  </si>
  <si>
    <t>Total Fee</t>
  </si>
  <si>
    <t>Payment Method</t>
  </si>
  <si>
    <t>M001</t>
  </si>
  <si>
    <t>Rahul Sharma</t>
  </si>
  <si>
    <t>Male</t>
  </si>
  <si>
    <t>Gold</t>
  </si>
  <si>
    <t>A. Patel</t>
  </si>
  <si>
    <t>Weight Loss</t>
  </si>
  <si>
    <t>Credit Card</t>
  </si>
  <si>
    <t>M002</t>
  </si>
  <si>
    <t>Priya Mehta</t>
  </si>
  <si>
    <t>Female</t>
  </si>
  <si>
    <t>Silver</t>
  </si>
  <si>
    <t>B. Rao</t>
  </si>
  <si>
    <t>General Fitness</t>
  </si>
  <si>
    <t>Debit Card</t>
  </si>
  <si>
    <t>M003</t>
  </si>
  <si>
    <t>Arjun Verma</t>
  </si>
  <si>
    <t>Platinum</t>
  </si>
  <si>
    <t>Bodybuilding</t>
  </si>
  <si>
    <t>UPI</t>
  </si>
  <si>
    <t>M004</t>
  </si>
  <si>
    <t>Simran Kaur</t>
  </si>
  <si>
    <t>M005</t>
  </si>
  <si>
    <t>Vikram Bansal</t>
  </si>
  <si>
    <t>C. Gupta</t>
  </si>
  <si>
    <t>Cash</t>
  </si>
  <si>
    <t>M006</t>
  </si>
  <si>
    <t>Anjali Nair</t>
  </si>
  <si>
    <t>Toning</t>
  </si>
  <si>
    <t>M007</t>
  </si>
  <si>
    <t>Karan Malhotra</t>
  </si>
  <si>
    <t>Strength</t>
  </si>
  <si>
    <t>M008</t>
  </si>
  <si>
    <t>Riya Sen</t>
  </si>
  <si>
    <t>M009</t>
  </si>
  <si>
    <t>Mohit Aggarwal</t>
  </si>
  <si>
    <t>M010</t>
  </si>
  <si>
    <t>Nisha Dubey</t>
  </si>
  <si>
    <t>Sum of Total Fee</t>
  </si>
  <si>
    <t>Sum of Monthly Fee</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</si>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</sst>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NumberFormat="1"/>
    <xf numFmtId="0" fontId="0" fillId="0" borderId="0" xfId="0" pivotButton="1"/>
    <xf numFmtId="0" fontId="0" fillId="2" borderId="0" xfId="0" applyFill="1"/>
  </cellXfs>
  <cellStyles count="1">
    <cellStyle name="Normal" xfId="0" builtinId="0"/>
  </cellStyles>
  <dxfs count="14">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[Fitness Center Membership dashboard.xlsx]Sheet3!PivotTable3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s>
    <c:plotArea>
      <c:layout/>
      <c:doughnutChart>
        <c:varyColors val="1"/>
        <c:ser>
          <c:idx val="0"/>
          <c:order val="0"/>
          <c:tx>
            <c:strRef>
              <c:f>Sheet3!$C$3</c:f>
              <c:strCache>
                <c:ptCount val="1"/>
                <c:pt idx="0">
                  <c:v>Sum of Monthly Fee</c:v>
                </c:pt>
              </c:strCache>
            </c:strRef>
          </c:tx>
          <c:dPt>
            <c:idx val="0"/>
            <c:bubble3D val="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CC-444C-A83C-E4F100C17B60}"/>
              </c:ext>
            </c:extLst>
          </c:dPt>
          <c:dPt>
            <c:idx val="1"/>
            <c:bubble3D val="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CC-444C-A83C-E4F100C17B60}"/>
              </c:ext>
            </c:extLst>
          </c:dPt>
          <c:dPt>
            <c:idx val="2"/>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CC-444C-A83C-E4F100C17B60}"/>
              </c:ext>
            </c:extLst>
          </c:dPt>
          <c:dPt>
            <c:idx val="3"/>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CC-444C-A83C-E4F100C17B60}"/>
              </c:ext>
            </c:extLst>
          </c:dPt>
          <c:dPt>
            <c:idx val="4"/>
            <c:bubble3D val="0"/>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BCC-444C-A83C-E4F100C17B60}"/>
              </c:ext>
            </c:extLst>
          </c:dPt>
          <c:dPt>
            <c:idx val="5"/>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BCC-444C-A83C-E4F100C17B60}"/>
              </c:ext>
            </c:extLst>
          </c:dPt>
          <c:cat>
            <c:strRef>
              <c:f>Sheet3!$A$4:$B$16</c:f>
              <c:strCache>
                <c:ptCount val="6"/>
                <c:pt idx="0">
                  <c:v>Anjali Nair</c:v>
                </c:pt>
                <c:pt idx="1">
                  <c:v>Arjun Verma</c:v>
                </c:pt>
                <c:pt idx="2">
                  <c:v>Priya Mehta</c:v>
                </c:pt>
                <c:pt idx="3">
                  <c:v>Rahul Sharma</c:v>
                </c:pt>
                <c:pt idx="4">
                  <c:v>Simran Kaur</c:v>
                </c:pt>
                <c:pt idx="5">
                  <c:v>Vikram Bansal</c:v>
                </c:pt>
              </c:strCache>
            </c:strRef>
          </c:cat>
          <c:val>
            <c:numRef>
              <c:f>Sheet3!$C$4:$C$16</c:f>
              <c:numCache>
                <c:formatCode>General</c:formatCode>
                <c:ptCount val="6"/>
                <c:pt idx="0">
                  <c:v>3000</c:v>
                </c:pt>
                <c:pt idx="1">
                  <c:v>3000</c:v>
                </c:pt>
                <c:pt idx="2">
                  <c:v>1500</c:v>
                </c:pt>
                <c:pt idx="3">
                  <c:v>2000</c:v>
                </c:pt>
                <c:pt idx="4">
                  <c:v>2000</c:v>
                </c:pt>
                <c:pt idx="5">
                  <c:v>1500</c:v>
                </c:pt>
              </c:numCache>
            </c:numRef>
          </c:val>
          <c:extLst>
            <c:ext xmlns:c16="http://schemas.microsoft.com/office/drawing/2014/chart" uri="{C3380CC4-5D6E-409C-BE32-E72D297353CC}">
              <c16:uniqueId val="{0000000C-9BCC-444C-A83C-E4F100C17B60}"/>
            </c:ext>
          </c:extLst>
        </c:ser>
        <c:ser>
          <c:idx val="1"/>
          <c:order val="1"/>
          <c:tx>
            <c:strRef>
              <c:f>Sheet3!$D$3</c:f>
              <c:strCache>
                <c:ptCount val="1"/>
                <c:pt idx="0">
                  <c:v>Sum of Total Fee</c:v>
                </c:pt>
              </c:strCache>
            </c:strRef>
          </c:tx>
          <c:dPt>
            <c:idx val="0"/>
            <c:bubble3D val="0"/>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9BCC-444C-A83C-E4F100C17B60}"/>
              </c:ext>
            </c:extLst>
          </c:dPt>
          <c:dPt>
            <c:idx val="1"/>
            <c:bubble3D val="0"/>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9BCC-444C-A83C-E4F100C17B60}"/>
              </c:ext>
            </c:extLst>
          </c:dPt>
          <c:dPt>
            <c:idx val="2"/>
            <c:bubble3D val="0"/>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9BCC-444C-A83C-E4F100C17B60}"/>
              </c:ext>
            </c:extLst>
          </c:dPt>
          <c:dPt>
            <c:idx val="3"/>
            <c:bubble3D val="0"/>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9BCC-444C-A83C-E4F100C17B60}"/>
              </c:ext>
            </c:extLst>
          </c:dPt>
          <c:dPt>
            <c:idx val="4"/>
            <c:bubble3D val="0"/>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9BCC-444C-A83C-E4F100C17B60}"/>
              </c:ext>
            </c:extLst>
          </c:dPt>
          <c:dPt>
            <c:idx val="5"/>
            <c:bubble3D val="0"/>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9BCC-444C-A83C-E4F100C17B60}"/>
              </c:ext>
            </c:extLst>
          </c:dPt>
          <c:cat>
            <c:strRef>
              <c:f>Sheet3!$A$4:$B$16</c:f>
              <c:strCache>
                <c:ptCount val="6"/>
                <c:pt idx="0">
                  <c:v>Anjali Nair</c:v>
                </c:pt>
                <c:pt idx="1">
                  <c:v>Arjun Verma</c:v>
                </c:pt>
                <c:pt idx="2">
                  <c:v>Priya Mehta</c:v>
                </c:pt>
                <c:pt idx="3">
                  <c:v>Rahul Sharma</c:v>
                </c:pt>
                <c:pt idx="4">
                  <c:v>Simran Kaur</c:v>
                </c:pt>
                <c:pt idx="5">
                  <c:v>Vikram Bansal</c:v>
                </c:pt>
              </c:strCache>
            </c:strRef>
          </c:cat>
          <c:val>
            <c:numRef>
              <c:f>Sheet3!$D$4:$D$16</c:f>
              <c:numCache>
                <c:formatCode>General</c:formatCode>
                <c:ptCount val="6"/>
                <c:pt idx="0">
                  <c:v>36000</c:v>
                </c:pt>
                <c:pt idx="1">
                  <c:v>36000</c:v>
                </c:pt>
                <c:pt idx="2">
                  <c:v>9000</c:v>
                </c:pt>
                <c:pt idx="3">
                  <c:v>24000</c:v>
                </c:pt>
                <c:pt idx="4">
                  <c:v>12000</c:v>
                </c:pt>
                <c:pt idx="5">
                  <c:v>4500</c:v>
                </c:pt>
              </c:numCache>
            </c:numRef>
          </c:val>
          <c:extLst>
            <c:ext xmlns:c16="http://schemas.microsoft.com/office/drawing/2014/chart" uri="{C3380CC4-5D6E-409C-BE32-E72D297353CC}">
              <c16:uniqueId val="{00000019-9BCC-444C-A83C-E4F100C17B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[Fitness Center Membership dashboard.xlsx]Sheet3!PivotTable3</c:name>
    <c:fmtId val="2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Sum of Monthly Fee</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Sheet3!$A$4:$B$16</c:f>
              <c:strCache>
                <c:ptCount val="6"/>
                <c:pt idx="0">
                  <c:v>Anjali Nair</c:v>
                </c:pt>
                <c:pt idx="1">
                  <c:v>Arjun Verma</c:v>
                </c:pt>
                <c:pt idx="2">
                  <c:v>Priya Mehta</c:v>
                </c:pt>
                <c:pt idx="3">
                  <c:v>Rahul Sharma</c:v>
                </c:pt>
                <c:pt idx="4">
                  <c:v>Simran Kaur</c:v>
                </c:pt>
                <c:pt idx="5">
                  <c:v>Vikram Bansal</c:v>
                </c:pt>
              </c:strCache>
            </c:strRef>
          </c:cat>
          <c:val>
            <c:numRef>
              <c:f>Sheet3!$C$4:$C$16</c:f>
              <c:numCache>
                <c:formatCode>General</c:formatCode>
                <c:ptCount val="6"/>
                <c:pt idx="0">
                  <c:v>3000</c:v>
                </c:pt>
                <c:pt idx="1">
                  <c:v>3000</c:v>
                </c:pt>
                <c:pt idx="2">
                  <c:v>1500</c:v>
                </c:pt>
                <c:pt idx="3">
                  <c:v>2000</c:v>
                </c:pt>
                <c:pt idx="4">
                  <c:v>2000</c:v>
                </c:pt>
                <c:pt idx="5">
                  <c:v>1500</c:v>
                </c:pt>
              </c:numCache>
            </c:numRef>
          </c:val>
          <c:extLst>
            <c:ext xmlns:c16="http://schemas.microsoft.com/office/drawing/2014/chart" uri="{C3380CC4-5D6E-409C-BE32-E72D297353CC}">
              <c16:uniqueId val="{00000000-1893-479C-BC28-50265EA20D06}"/>
            </c:ext>
          </c:extLst>
        </c:ser>
        <c:dLbls>
          <c:showLegendKey val="0"/>
          <c:showVal val="0"/>
          <c:showCatName val="0"/>
          <c:showSerName val="0"/>
          <c:showPercent val="0"/>
          <c:showBubbleSize val="0"/>
        </c:dLbls>
        <c:gapWidth val="247"/>
        <c:axId val="1647857183"/>
        <c:axId val="1828546639"/>
      </c:barChart>
      <c:lineChart>
        <c:grouping val="standard"/>
        <c:varyColors val="0"/>
        <c:ser>
          <c:idx val="1"/>
          <c:order val="1"/>
          <c:tx>
            <c:strRef>
              <c:f>Sheet3!$D$3</c:f>
              <c:strCache>
                <c:ptCount val="1"/>
                <c:pt idx="0">
                  <c:v>Sum of Total Fee</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cat>
            <c:strRef>
              <c:f>Sheet3!$A$4:$B$16</c:f>
              <c:strCache>
                <c:ptCount val="6"/>
                <c:pt idx="0">
                  <c:v>Anjali Nair</c:v>
                </c:pt>
                <c:pt idx="1">
                  <c:v>Arjun Verma</c:v>
                </c:pt>
                <c:pt idx="2">
                  <c:v>Priya Mehta</c:v>
                </c:pt>
                <c:pt idx="3">
                  <c:v>Rahul Sharma</c:v>
                </c:pt>
                <c:pt idx="4">
                  <c:v>Simran Kaur</c:v>
                </c:pt>
                <c:pt idx="5">
                  <c:v>Vikram Bansal</c:v>
                </c:pt>
              </c:strCache>
            </c:strRef>
          </c:cat>
          <c:val>
            <c:numRef>
              <c:f>Sheet3!$D$4:$D$16</c:f>
              <c:numCache>
                <c:formatCode>General</c:formatCode>
                <c:ptCount val="6"/>
                <c:pt idx="0">
                  <c:v>36000</c:v>
                </c:pt>
                <c:pt idx="1">
                  <c:v>36000</c:v>
                </c:pt>
                <c:pt idx="2">
                  <c:v>9000</c:v>
                </c:pt>
                <c:pt idx="3">
                  <c:v>24000</c:v>
                </c:pt>
                <c:pt idx="4">
                  <c:v>12000</c:v>
                </c:pt>
                <c:pt idx="5">
                  <c:v>4500</c:v>
                </c:pt>
              </c:numCache>
            </c:numRef>
          </c:val>
          <c:smooth val="0"/>
          <c:extLst>
            <c:ext xmlns:c16="http://schemas.microsoft.com/office/drawing/2014/chart" uri="{C3380CC4-5D6E-409C-BE32-E72D297353CC}">
              <c16:uniqueId val="{00000001-1893-479C-BC28-50265EA20D06}"/>
            </c:ext>
          </c:extLst>
        </c:ser>
        <c:dLbls>
          <c:showLegendKey val="0"/>
          <c:showVal val="0"/>
          <c:showCatName val="0"/>
          <c:showSerName val="0"/>
          <c:showPercent val="0"/>
          <c:showBubbleSize val="0"/>
        </c:dLbls>
        <c:marker val="1"/>
        <c:smooth val="0"/>
        <c:axId val="1581636527"/>
        <c:axId val="1828547135"/>
      </c:lineChart>
      <c:catAx>
        <c:axId val="164785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546639"/>
        <c:crosses val="autoZero"/>
        <c:auto val="1"/>
        <c:lblAlgn val="ctr"/>
        <c:lblOffset val="100"/>
        <c:noMultiLvlLbl val="0"/>
      </c:catAx>
      <c:valAx>
        <c:axId val="1828546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7857183"/>
        <c:crosses val="autoZero"/>
        <c:crossBetween val="between"/>
      </c:valAx>
      <c:valAx>
        <c:axId val="18285471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1636527"/>
        <c:crosses val="max"/>
        <c:crossBetween val="between"/>
      </c:valAx>
      <c:catAx>
        <c:axId val="1581636527"/>
        <c:scaling>
          <c:orientation val="minMax"/>
        </c:scaling>
        <c:delete val="1"/>
        <c:axPos val="b"/>
        <c:numFmt formatCode="General" sourceLinked="1"/>
        <c:majorTickMark val="none"/>
        <c:minorTickMark val="none"/>
        <c:tickLblPos val="nextTo"/>
        <c:crossAx val="1828547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Center Membership dashboard.xlsx]Sheet3!PivotTable3</c:name>
    <c:fmtId val="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Sheet3!$C$3</c:f>
              <c:strCache>
                <c:ptCount val="1"/>
                <c:pt idx="0">
                  <c:v>Sum of Monthly Fee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Sheet3!$A$4:$B$16</c:f>
              <c:strCache>
                <c:ptCount val="6"/>
                <c:pt idx="0">
                  <c:v>Anjali Nair</c:v>
                </c:pt>
                <c:pt idx="1">
                  <c:v>Arjun Verma</c:v>
                </c:pt>
                <c:pt idx="2">
                  <c:v>Priya Mehta</c:v>
                </c:pt>
                <c:pt idx="3">
                  <c:v>Rahul Sharma</c:v>
                </c:pt>
                <c:pt idx="4">
                  <c:v>Simran Kaur</c:v>
                </c:pt>
                <c:pt idx="5">
                  <c:v>Vikram Bansal</c:v>
                </c:pt>
              </c:strCache>
            </c:strRef>
          </c:cat>
          <c:val>
            <c:numRef>
              <c:f>Sheet3!$C$4:$C$16</c:f>
              <c:numCache>
                <c:formatCode>General</c:formatCode>
                <c:ptCount val="6"/>
                <c:pt idx="0">
                  <c:v>3000</c:v>
                </c:pt>
                <c:pt idx="1">
                  <c:v>3000</c:v>
                </c:pt>
                <c:pt idx="2">
                  <c:v>1500</c:v>
                </c:pt>
                <c:pt idx="3">
                  <c:v>2000</c:v>
                </c:pt>
                <c:pt idx="4">
                  <c:v>2000</c:v>
                </c:pt>
                <c:pt idx="5">
                  <c:v>1500</c:v>
                </c:pt>
              </c:numCache>
            </c:numRef>
          </c:val>
          <c:smooth val="0"/>
          <c:extLst>
            <c:ext xmlns:c16="http://schemas.microsoft.com/office/drawing/2014/chart" uri="{C3380CC4-5D6E-409C-BE32-E72D297353CC}">
              <c16:uniqueId val="{00000000-6596-4C89-A08F-691734D1DB32}"/>
            </c:ext>
          </c:extLst>
        </c:ser>
        <c:ser>
          <c:idx val="1"/>
          <c:order val="1"/>
          <c:tx>
            <c:strRef>
              <c:f>Sheet3!$D$3</c:f>
              <c:strCache>
                <c:ptCount val="1"/>
                <c:pt idx="0">
                  <c:v>Sum of Total Fee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Sheet3!$A$4:$B$16</c:f>
              <c:strCache>
                <c:ptCount val="6"/>
                <c:pt idx="0">
                  <c:v>Anjali Nair</c:v>
                </c:pt>
                <c:pt idx="1">
                  <c:v>Arjun Verma</c:v>
                </c:pt>
                <c:pt idx="2">
                  <c:v>Priya Mehta</c:v>
                </c:pt>
                <c:pt idx="3">
                  <c:v>Rahul Sharma</c:v>
                </c:pt>
                <c:pt idx="4">
                  <c:v>Simran Kaur</c:v>
                </c:pt>
                <c:pt idx="5">
                  <c:v>Vikram Bansal</c:v>
                </c:pt>
              </c:strCache>
            </c:strRef>
          </c:cat>
          <c:val>
            <c:numRef>
              <c:f>Sheet3!$D$4:$D$16</c:f>
              <c:numCache>
                <c:formatCode>General</c:formatCode>
                <c:ptCount val="6"/>
                <c:pt idx="0">
                  <c:v>36000</c:v>
                </c:pt>
                <c:pt idx="1">
                  <c:v>36000</c:v>
                </c:pt>
                <c:pt idx="2">
                  <c:v>9000</c:v>
                </c:pt>
                <c:pt idx="3">
                  <c:v>24000</c:v>
                </c:pt>
                <c:pt idx="4">
                  <c:v>12000</c:v>
                </c:pt>
                <c:pt idx="5">
                  <c:v>4500</c:v>
                </c:pt>
              </c:numCache>
            </c:numRef>
          </c:val>
          <c:smooth val="0"/>
          <c:extLst>
            <c:ext xmlns:c16="http://schemas.microsoft.com/office/drawing/2014/chart" uri="{C3380CC4-5D6E-409C-BE32-E72D297353CC}">
              <c16:uniqueId val="{00000001-6596-4C89-A08F-691734D1DB32}"/>
            </c:ext>
          </c:extLst>
        </c:ser>
        <c:dLbls>
          <c:showLegendKey val="0"/>
          <c:showVal val="0"/>
          <c:showCatName val="0"/>
          <c:showSerName val="0"/>
          <c:showPercent val="0"/>
          <c:showBubbleSize val="0"/>
        </c:dLbls>
        <c:marker val="1"/>
        <c:smooth val="0"/>
        <c:axId val="1660538287"/>
        <c:axId val="1723601647"/>
      </c:lineChart>
      <c:catAx>
        <c:axId val="16605382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3601647"/>
        <c:crosses val="autoZero"/>
        <c:auto val="1"/>
        <c:lblAlgn val="ctr"/>
        <c:lblOffset val="100"/>
        <c:noMultiLvlLbl val="0"/>
      </c:catAx>
      <c:valAx>
        <c:axId val="1723601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53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323850</xdr:colOff>
      <xdr:row>0</xdr:row>
      <xdr:rowOff>101600</xdr:rowOff>
    </xdr:from>
    <xdr:to>
      <xdr:col>15</xdr:col>
      <xdr:colOff>463550</xdr:colOff>
      <xdr:row>12</xdr:row>
      <xdr:rowOff>44450</xdr:rowOff>
    </xdr:to>
    <xdr:graphicFrame macro="">
      <xdr:nvGraphicFramePr>
        <xdr:cNvPr id="2" name="Chart 1">
          <a:extLst>
            <a:ext uri="{FF2B5EF4-FFF2-40B4-BE49-F238E27FC236}">
              <a16:creationId xmlns:a16="http://schemas.microsoft.com/office/drawing/2014/main" id="{E2601C46-B0D7-40EA-A432-22FCEBE65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107950</xdr:colOff>
      <xdr:row>6</xdr:row>
      <xdr:rowOff>12700</xdr:rowOff>
    </xdr:from>
    <xdr:to>
      <xdr:col>9</xdr:col>
      <xdr:colOff>215900</xdr:colOff>
      <xdr:row>23</xdr:row>
      <xdr:rowOff>133350</xdr:rowOff>
    </xdr:to>
    <xdr:graphicFrame macro="">
      <xdr:nvGraphicFramePr>
        <xdr:cNvPr id="4" name="Chart 3">
          <a:extLst>
            <a:ext uri="{FF2B5EF4-FFF2-40B4-BE49-F238E27FC236}">
              <a16:creationId xmlns:a16="http://schemas.microsoft.com/office/drawing/2014/main" id="{BB9DE4B7-8D42-45F7-AA6B-F4AD1B2A6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342901</xdr:colOff>
      <xdr:row>12</xdr:row>
      <xdr:rowOff>101600</xdr:rowOff>
    </xdr:from>
    <xdr:to>
      <xdr:col>15</xdr:col>
      <xdr:colOff>450850</xdr:colOff>
      <xdr:row>24</xdr:row>
      <xdr:rowOff>69850</xdr:rowOff>
    </xdr:to>
    <xdr:graphicFrame macro="">
      <xdr:nvGraphicFramePr>
        <xdr:cNvPr id="5" name="Chart 4">
          <a:extLst>
            <a:ext uri="{FF2B5EF4-FFF2-40B4-BE49-F238E27FC236}">
              <a16:creationId xmlns:a16="http://schemas.microsoft.com/office/drawing/2014/main" id="{CC2E5CF0-CFC0-4452-9B0F-DE8C09844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603250</xdr:colOff>
      <xdr:row>0</xdr:row>
      <xdr:rowOff>146051</xdr:rowOff>
    </xdr:from>
    <xdr:to>
      <xdr:col>18</xdr:col>
      <xdr:colOff>603250</xdr:colOff>
      <xdr:row>12</xdr:row>
      <xdr:rowOff>25401</xdr:rowOff>
    </xdr:to>
    <mc:AlternateContent xmlns:mc="http://schemas.openxmlformats.org/markup-compatibility/2006">
      <mc:Choice xmlns:a14="http://schemas.microsoft.com/office/drawing/2010/main" Requires="a14">
        <xdr:graphicFrame macro="">
          <xdr:nvGraphicFramePr>
            <xdr:cNvPr id="6" name="Age 1">
              <a:extLst>
                <a:ext uri="{FF2B5EF4-FFF2-40B4-BE49-F238E27FC236}">
                  <a16:creationId xmlns:a16="http://schemas.microsoft.com/office/drawing/2014/main" id="{09BB2638-917E-4E40-A080-71E610B141A5}"/>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9747250" y="146051"/>
              <a:ext cx="1828800" cy="208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590550</xdr:colOff>
      <xdr:row>12</xdr:row>
      <xdr:rowOff>152401</xdr:rowOff>
    </xdr:from>
    <xdr:to>
      <xdr:col>18</xdr:col>
      <xdr:colOff>590550</xdr:colOff>
      <xdr:row>23</xdr:row>
      <xdr:rowOff>152401</xdr:rowOff>
    </xdr:to>
    <mc:AlternateContent xmlns:mc="http://schemas.openxmlformats.org/markup-compatibility/2006">
      <mc:Choice xmlns:a14="http://schemas.microsoft.com/office/drawing/2010/main" Requires="a14">
        <xdr:graphicFrame macro="">
          <xdr:nvGraphicFramePr>
            <xdr:cNvPr id="8" name="Payment Method 1">
              <a:extLst>
                <a:ext uri="{FF2B5EF4-FFF2-40B4-BE49-F238E27FC236}">
                  <a16:creationId xmlns:a16="http://schemas.microsoft.com/office/drawing/2014/main" id="{D7BC48A0-95A4-4F76-989E-FA3B193B17A4}"/>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9734550" y="2362201"/>
              <a:ext cx="1828800" cy="202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0</xdr:row>
      <xdr:rowOff>38100</xdr:rowOff>
    </xdr:from>
    <xdr:to>
      <xdr:col>9</xdr:col>
      <xdr:colOff>228600</xdr:colOff>
      <xdr:row>5</xdr:row>
      <xdr:rowOff>114300</xdr:rowOff>
    </xdr:to>
    <xdr:sp macro="" textlink="">
      <xdr:nvSpPr>
        <xdr:cNvPr id="9" name="Rectangle 8">
          <a:extLst>
            <a:ext uri="{FF2B5EF4-FFF2-40B4-BE49-F238E27FC236}">
              <a16:creationId xmlns:a16="http://schemas.microsoft.com/office/drawing/2014/main" id="{72895D10-7B6A-D1DC-0DC9-317C12BB99BC}"/>
            </a:ext>
          </a:extLst>
        </xdr:cNvPr>
        <xdr:cNvSpPr/>
      </xdr:nvSpPr>
      <xdr:spPr>
        <a:xfrm>
          <a:off x="57150" y="38100"/>
          <a:ext cx="5657850" cy="99695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u="sng">
              <a:solidFill>
                <a:schemeClr val="bg1"/>
              </a:solidFill>
            </a:rPr>
            <a:t>FITNESS</a:t>
          </a:r>
          <a:r>
            <a:rPr lang="en-IN" sz="2400" b="1" u="sng" baseline="0">
              <a:solidFill>
                <a:schemeClr val="bg1"/>
              </a:solidFill>
            </a:rPr>
            <a:t> CENTRE MEMBERSHIP DASHBOARD </a:t>
          </a:r>
          <a:endParaRPr lang="en-IN" sz="2400" b="1" u="sng">
            <a:solidFill>
              <a:schemeClr val="bg1"/>
            </a:solidFill>
          </a:endParaRPr>
        </a:p>
      </xdr:txBody>
    </xdr:sp>
    <xdr:clientData/>
  </xdr:twoCellAnchor>
  <xdr:twoCellAnchor editAs="oneCell">
    <xdr:from>
      <xdr:col>0</xdr:col>
      <xdr:colOff>101600</xdr:colOff>
      <xdr:row>0</xdr:row>
      <xdr:rowOff>146050</xdr:rowOff>
    </xdr:from>
    <xdr:to>
      <xdr:col>1</xdr:col>
      <xdr:colOff>330200</xdr:colOff>
      <xdr:row>5</xdr:row>
      <xdr:rowOff>63500</xdr:rowOff>
    </xdr:to>
    <xdr:pic>
      <xdr:nvPicPr>
        <xdr:cNvPr id="11" name="Graphic 10" descr="Body builder with solid fill">
          <a:extLst>
            <a:ext uri="{FF2B5EF4-FFF2-40B4-BE49-F238E27FC236}">
              <a16:creationId xmlns:a16="http://schemas.microsoft.com/office/drawing/2014/main" id="{CB7778AB-0FEC-8DCD-23B5-FDEB5665785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01600" y="146050"/>
          <a:ext cx="838200" cy="838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49.913248611112" createdVersion="8" refreshedVersion="8" minRefreshableVersion="3" recordCount="6" xr:uid="{5D8C971F-BE7E-4E64-9AA4-649FA7EB5177}">
  <cacheSource type="worksheet">
    <worksheetSource ref="A1:L7" sheet="Sheet1"/>
  </cacheSource>
  <cacheFields count="12">
    <cacheField name="Member ID" numFmtId="0">
      <sharedItems/>
    </cacheField>
    <cacheField name="Join Date" numFmtId="14">
      <sharedItems containsSemiMixedTypes="0" containsNonDate="0" containsDate="1" containsString="0" minDate="2025-01-03T00:00:00" maxDate="2025-01-16T00:00:00"/>
    </cacheField>
    <cacheField name="Member Name" numFmtId="0">
      <sharedItems count="6">
        <s v="Rahul Sharma"/>
        <s v="Priya Mehta"/>
        <s v="Arjun Verma"/>
        <s v="Simran Kaur"/>
        <s v="Vikram Bansal"/>
        <s v="Anjali Nair"/>
      </sharedItems>
    </cacheField>
    <cacheField name="Gender" numFmtId="0">
      <sharedItems count="2">
        <s v="Male"/>
        <s v="Female"/>
      </sharedItems>
    </cacheField>
    <cacheField name="Age" numFmtId="0">
      <sharedItems containsSemiMixedTypes="0" containsString="0" containsNumber="1" containsInteger="1" minValue="22" maxValue="40" count="6">
        <n v="28"/>
        <n v="35"/>
        <n v="22"/>
        <n v="30"/>
        <n v="40"/>
        <n v="26"/>
      </sharedItems>
    </cacheField>
    <cacheField name="Membership Type" numFmtId="0">
      <sharedItems/>
    </cacheField>
    <cacheField name="Duration (Months)" numFmtId="0">
      <sharedItems containsSemiMixedTypes="0" containsString="0" containsNumber="1" containsInteger="1" minValue="3" maxValue="12" count="3">
        <n v="12"/>
        <n v="6"/>
        <n v="3"/>
      </sharedItems>
    </cacheField>
    <cacheField name="Trainer Assigned" numFmtId="0">
      <sharedItems/>
    </cacheField>
    <cacheField name="Workout Plan" numFmtId="0">
      <sharedItems/>
    </cacheField>
    <cacheField name="Monthly Fee" numFmtId="0">
      <sharedItems containsSemiMixedTypes="0" containsString="0" containsNumber="1" containsInteger="1" minValue="1500" maxValue="3000"/>
    </cacheField>
    <cacheField name="Total Fee" numFmtId="0">
      <sharedItems containsSemiMixedTypes="0" containsString="0" containsNumber="1" containsInteger="1" minValue="4500" maxValue="36000"/>
    </cacheField>
    <cacheField name="Payment Method" numFmtId="0">
      <sharedItems count="4">
        <s v="Credit Card"/>
        <s v="Debit Card"/>
        <s v="UPI"/>
        <s v="Cash"/>
      </sharedItems>
    </cacheField>
  </cacheFields>
  <extLst>
    <ext xmlns:x14="http://schemas.microsoft.com/office/spreadsheetml/2009/9/main" uri="{725AE2AE-9491-48be-B2B4-4EB974FC3084}">
      <x14:pivotCacheDefinition pivotCacheId="1420741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M001"/>
    <d v="2025-01-03T00:00:00"/>
    <x v="0"/>
    <x v="0"/>
    <x v="0"/>
    <s v="Gold"/>
    <x v="0"/>
    <s v="A. Patel"/>
    <s v="Weight Loss"/>
    <n v="2000"/>
    <n v="24000"/>
    <x v="0"/>
  </r>
  <r>
    <s v="M002"/>
    <d v="2025-01-05T00:00:00"/>
    <x v="1"/>
    <x v="1"/>
    <x v="1"/>
    <s v="Silver"/>
    <x v="1"/>
    <s v="B. Rao"/>
    <s v="General Fitness"/>
    <n v="1500"/>
    <n v="9000"/>
    <x v="1"/>
  </r>
  <r>
    <s v="M003"/>
    <d v="2025-01-07T00:00:00"/>
    <x v="2"/>
    <x v="0"/>
    <x v="2"/>
    <s v="Platinum"/>
    <x v="0"/>
    <s v="A. Patel"/>
    <s v="Bodybuilding"/>
    <n v="3000"/>
    <n v="36000"/>
    <x v="2"/>
  </r>
  <r>
    <s v="M004"/>
    <d v="2025-01-10T00:00:00"/>
    <x v="3"/>
    <x v="1"/>
    <x v="3"/>
    <s v="Gold"/>
    <x v="1"/>
    <s v="B. Rao"/>
    <s v="Weight Loss"/>
    <n v="2000"/>
    <n v="12000"/>
    <x v="0"/>
  </r>
  <r>
    <s v="M005"/>
    <d v="2025-01-12T00:00:00"/>
    <x v="4"/>
    <x v="0"/>
    <x v="4"/>
    <s v="Silver"/>
    <x v="2"/>
    <s v="C. Gupta"/>
    <s v="General Fitness"/>
    <n v="1500"/>
    <n v="4500"/>
    <x v="3"/>
  </r>
  <r>
    <s v="M006"/>
    <d v="2025-01-15T00:00:00"/>
    <x v="5"/>
    <x v="1"/>
    <x v="5"/>
    <s v="Platinum"/>
    <x v="0"/>
    <s v="C. Gupta"/>
    <s v="Toning"/>
    <n v="3000"/>
    <n v="3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82130-D447-41BF-8A50-9CF5C5CDECFA}" name="PivotTable3"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6">
  <location ref="A3:D16" firstHeaderRow="0" firstDataRow="1" firstDataCol="2" rowPageCount="1" colPageCount="1"/>
  <pivotFields count="12">
    <pivotField compact="0" outline="0" subtotalTop="0" showAll="0" insertBlankRow="1"/>
    <pivotField compact="0" numFmtId="14" outline="0" subtotalTop="0" showAll="0" insertBlankRow="1"/>
    <pivotField axis="axisRow" compact="0" outline="0" subtotalTop="0" showAll="0" insertBlankRow="1">
      <items count="7">
        <item sd="0" x="5"/>
        <item sd="0" x="2"/>
        <item sd="0" x="1"/>
        <item sd="0" x="0"/>
        <item sd="0" x="3"/>
        <item sd="0" x="4"/>
        <item t="default" sd="0"/>
      </items>
    </pivotField>
    <pivotField axis="axisRow" compact="0" outline="0" subtotalTop="0" showAll="0" insertBlankRow="1">
      <items count="3">
        <item x="1"/>
        <item x="0"/>
        <item t="default"/>
      </items>
    </pivotField>
    <pivotField compact="0" outline="0" subtotalTop="0" showAll="0" insertBlankRow="1">
      <items count="7">
        <item x="2"/>
        <item x="5"/>
        <item x="0"/>
        <item x="3"/>
        <item x="1"/>
        <item x="4"/>
        <item t="default"/>
      </items>
    </pivotField>
    <pivotField compact="0" outline="0" subtotalTop="0" showAll="0" insertBlankRow="1"/>
    <pivotField compact="0" outline="0" subtotalTop="0" showAll="0" insertBlankRow="1">
      <items count="4">
        <item x="2"/>
        <item x="1"/>
        <item x="0"/>
        <item t="default"/>
      </items>
    </pivotField>
    <pivotField compact="0" outline="0" subtotalTop="0" showAll="0" insertBlankRow="1"/>
    <pivotField compact="0" outline="0" subtotalTop="0" showAll="0" insertBlankRow="1"/>
    <pivotField dataField="1" compact="0" outline="0" subtotalTop="0" showAll="0" insertBlankRow="1"/>
    <pivotField dataField="1" compact="0" outline="0" subtotalTop="0" showAll="0" insertBlankRow="1"/>
    <pivotField axis="axisPage" compact="0" outline="0" subtotalTop="0" showAll="0" insertBlankRow="1">
      <items count="5">
        <item x="3"/>
        <item x="0"/>
        <item x="1"/>
        <item x="2"/>
        <item t="default"/>
      </items>
    </pivotField>
  </pivotFields>
  <rowFields count="2">
    <field x="2"/>
    <field x="3"/>
  </rowFields>
  <rowItems count="13">
    <i>
      <x/>
    </i>
    <i t="blank">
      <x/>
    </i>
    <i>
      <x v="1"/>
    </i>
    <i t="blank">
      <x v="1"/>
    </i>
    <i>
      <x v="2"/>
    </i>
    <i t="blank">
      <x v="2"/>
    </i>
    <i>
      <x v="3"/>
    </i>
    <i t="blank">
      <x v="3"/>
    </i>
    <i>
      <x v="4"/>
    </i>
    <i t="blank">
      <x v="4"/>
    </i>
    <i>
      <x v="5"/>
    </i>
    <i t="blank">
      <x v="5"/>
    </i>
    <i t="grand">
      <x/>
    </i>
  </rowItems>
  <colFields count="1">
    <field x="-2"/>
  </colFields>
  <colItems count="2">
    <i>
      <x/>
    </i>
    <i i="1">
      <x v="1"/>
    </i>
  </colItems>
  <pageFields count="1">
    <pageField fld="11" hier="-1"/>
  </pageFields>
  <dataFields count="2">
    <dataField name="Sum of Monthly Fee" fld="9" baseField="0" baseItem="0"/>
    <dataField name="Sum of Total Fee" fld="10" baseField="0" baseItem="0"/>
  </dataFields>
  <chartFormats count="20">
    <chartFormat chart="4" format="16" series="1">
      <pivotArea type="data" outline="0" fieldPosition="0">
        <references count="1">
          <reference field="4294967294" count="1" selected="0">
            <x v="0"/>
          </reference>
        </references>
      </pivotArea>
    </chartFormat>
    <chartFormat chart="4" format="17">
      <pivotArea type="data" outline="0" fieldPosition="0">
        <references count="3">
          <reference field="4294967294" count="1" selected="0">
            <x v="0"/>
          </reference>
          <reference field="2" count="1" selected="0">
            <x v="0"/>
          </reference>
          <reference field="3" count="1" selected="0">
            <x v="0"/>
          </reference>
        </references>
      </pivotArea>
    </chartFormat>
    <chartFormat chart="4" format="18">
      <pivotArea type="data" outline="0" fieldPosition="0">
        <references count="3">
          <reference field="4294967294" count="1" selected="0">
            <x v="0"/>
          </reference>
          <reference field="2" count="1" selected="0">
            <x v="1"/>
          </reference>
          <reference field="3" count="1" selected="0">
            <x v="1"/>
          </reference>
        </references>
      </pivotArea>
    </chartFormat>
    <chartFormat chart="4" format="19">
      <pivotArea type="data" outline="0" fieldPosition="0">
        <references count="3">
          <reference field="4294967294" count="1" selected="0">
            <x v="0"/>
          </reference>
          <reference field="2" count="1" selected="0">
            <x v="2"/>
          </reference>
          <reference field="3" count="1" selected="0">
            <x v="0"/>
          </reference>
        </references>
      </pivotArea>
    </chartFormat>
    <chartFormat chart="4" format="20">
      <pivotArea type="data" outline="0" fieldPosition="0">
        <references count="3">
          <reference field="4294967294" count="1" selected="0">
            <x v="0"/>
          </reference>
          <reference field="2" count="1" selected="0">
            <x v="3"/>
          </reference>
          <reference field="3" count="1" selected="0">
            <x v="1"/>
          </reference>
        </references>
      </pivotArea>
    </chartFormat>
    <chartFormat chart="4" format="21">
      <pivotArea type="data" outline="0" fieldPosition="0">
        <references count="3">
          <reference field="4294967294" count="1" selected="0">
            <x v="0"/>
          </reference>
          <reference field="2" count="1" selected="0">
            <x v="4"/>
          </reference>
          <reference field="3" count="1" selected="0">
            <x v="0"/>
          </reference>
        </references>
      </pivotArea>
    </chartFormat>
    <chartFormat chart="4" format="22">
      <pivotArea type="data" outline="0" fieldPosition="0">
        <references count="3">
          <reference field="4294967294" count="1" selected="0">
            <x v="0"/>
          </reference>
          <reference field="2" count="1" selected="0">
            <x v="5"/>
          </reference>
          <reference field="3" count="1" selected="0">
            <x v="1"/>
          </reference>
        </references>
      </pivotArea>
    </chartFormat>
    <chartFormat chart="4" format="23" series="1">
      <pivotArea type="data" outline="0" fieldPosition="0">
        <references count="1">
          <reference field="4294967294" count="1" selected="0">
            <x v="1"/>
          </reference>
        </references>
      </pivotArea>
    </chartFormat>
    <chartFormat chart="4" format="24">
      <pivotArea type="data" outline="0" fieldPosition="0">
        <references count="3">
          <reference field="4294967294" count="1" selected="0">
            <x v="1"/>
          </reference>
          <reference field="2" count="1" selected="0">
            <x v="0"/>
          </reference>
          <reference field="3" count="1" selected="0">
            <x v="0"/>
          </reference>
        </references>
      </pivotArea>
    </chartFormat>
    <chartFormat chart="4" format="25">
      <pivotArea type="data" outline="0" fieldPosition="0">
        <references count="3">
          <reference field="4294967294" count="1" selected="0">
            <x v="1"/>
          </reference>
          <reference field="2" count="1" selected="0">
            <x v="1"/>
          </reference>
          <reference field="3" count="1" selected="0">
            <x v="1"/>
          </reference>
        </references>
      </pivotArea>
    </chartFormat>
    <chartFormat chart="4" format="26">
      <pivotArea type="data" outline="0" fieldPosition="0">
        <references count="3">
          <reference field="4294967294" count="1" selected="0">
            <x v="1"/>
          </reference>
          <reference field="2" count="1" selected="0">
            <x v="2"/>
          </reference>
          <reference field="3" count="1" selected="0">
            <x v="0"/>
          </reference>
        </references>
      </pivotArea>
    </chartFormat>
    <chartFormat chart="4" format="27">
      <pivotArea type="data" outline="0" fieldPosition="0">
        <references count="3">
          <reference field="4294967294" count="1" selected="0">
            <x v="1"/>
          </reference>
          <reference field="2" count="1" selected="0">
            <x v="3"/>
          </reference>
          <reference field="3" count="1" selected="0">
            <x v="1"/>
          </reference>
        </references>
      </pivotArea>
    </chartFormat>
    <chartFormat chart="4" format="28">
      <pivotArea type="data" outline="0" fieldPosition="0">
        <references count="3">
          <reference field="4294967294" count="1" selected="0">
            <x v="1"/>
          </reference>
          <reference field="2" count="1" selected="0">
            <x v="4"/>
          </reference>
          <reference field="3" count="1" selected="0">
            <x v="0"/>
          </reference>
        </references>
      </pivotArea>
    </chartFormat>
    <chartFormat chart="4" format="29">
      <pivotArea type="data" outline="0" fieldPosition="0">
        <references count="3">
          <reference field="4294967294" count="1" selected="0">
            <x v="1"/>
          </reference>
          <reference field="2" count="1" selected="0">
            <x v="5"/>
          </reference>
          <reference field="3"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6CD70CF-B11B-46AD-84CC-63C747AEC64D}" sourceName="Age">
  <pivotTables>
    <pivotTable tabId="3" name="PivotTable3"/>
  </pivotTables>
  <data>
    <tabular pivotCacheId="1420741470">
      <items count="6">
        <i x="2" s="1"/>
        <i x="5"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4C4BD2F-C552-4982-8EA5-E696B1834FD6}" sourceName="Payment Method">
  <pivotTables>
    <pivotTable tabId="3" name="PivotTable3"/>
  </pivotTables>
  <data>
    <tabular pivotCacheId="142074147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E6253A75-AC44-42AF-82E2-5BFE17B772D8}" cache="Slicer_Age" caption="Age" style="SlicerStyleOther1" rowHeight="241300"/>
  <slicer name="Payment Method 1" xr10:uid="{38CEA68A-6577-494E-97C9-3EC182CB5085}" cache="Slicer_Payment_Method" caption="Payment Method"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923E6-DE3B-4BC6-9073-1A51B04089DC}" name="Table1" displayName="Table1" ref="A1:L11" totalsRowShown="0" headerRowDxfId="0" dataDxfId="1">
  <autoFilter ref="A1:L11" xr:uid="{A6A923E6-DE3B-4BC6-9073-1A51B04089DC}"/>
  <tableColumns count="12">
    <tableColumn id="1" xr3:uid="{D2F41CF0-E80E-495A-BEDF-A9E8720B64D2}" name="Member ID" dataDxfId="13"/>
    <tableColumn id="2" xr3:uid="{BF63BE21-71D4-47BE-B232-E7D13E823008}" name="Join Date" dataDxfId="12"/>
    <tableColumn id="3" xr3:uid="{0FC9C801-0B6B-4604-B29D-02F272DB21E1}" name="Member Name" dataDxfId="11"/>
    <tableColumn id="4" xr3:uid="{72902E2D-EEB9-4DB7-BC47-7AFEB5A5C615}" name="Gender" dataDxfId="10"/>
    <tableColumn id="5" xr3:uid="{D6D4B848-9674-495A-847C-599BE370DFCD}" name="Age" dataDxfId="9"/>
    <tableColumn id="6" xr3:uid="{EACD9C4B-DB99-4596-A313-167053807892}" name="Membership Type" dataDxfId="8"/>
    <tableColumn id="7" xr3:uid="{BB5268B3-3D84-4D96-8BDB-549AAEE41305}" name="Duration (Months)" dataDxfId="7"/>
    <tableColumn id="8" xr3:uid="{D4E5EA29-D9CD-4C9B-BA88-B949D1EC7F67}" name="Trainer Assigned" dataDxfId="6"/>
    <tableColumn id="9" xr3:uid="{B1167AD2-97E1-4773-A1B8-437CD5B06AC0}" name="Workout Plan" dataDxfId="5"/>
    <tableColumn id="10" xr3:uid="{EC3AE0C5-C355-46D6-BA63-E56D0989DCFA}" name="Monthly Fee" dataDxfId="4"/>
    <tableColumn id="11" xr3:uid="{C22F6526-C5D3-4540-B6AA-9880DB790AEE}" name="Total Fee" dataDxfId="3"/>
    <tableColumn id="12" xr3:uid="{1E769922-4C7A-4985-A88C-3D268A05B342}" name="Payment Method"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A4BC-F5C1-4A50-9A28-BAAE0BBA8CFB}">
  <dimension ref="A1:D16"/>
  <sheetViews>
    <sheetView tabSelected="1" workbookViewId="0">
      <selection activeCell="C8" sqref="C8"/>
    </sheetView>
  </sheetViews>
  <sheetFormatPr defaultRowHeight="14.5" x14ac:dyDescent="0.35"/>
  <cols>
    <col min="1" max="1" width="17.6328125" bestFit="1" customWidth="1"/>
    <col min="2" max="2" width="9.26953125" bestFit="1" customWidth="1"/>
    <col min="3" max="3" width="17.7265625" bestFit="1" customWidth="1"/>
    <col min="4" max="4" width="14.81640625" bestFit="1" customWidth="1"/>
  </cols>
  <sheetData>
    <row r="1" spans="1:4" x14ac:dyDescent="0.35">
      <c r="A1" s="5" t="s">
        <v>11</v>
      </c>
      <c r="B1" t="s">
        <v>52</v>
      </c>
    </row>
    <row r="3" spans="1:4" x14ac:dyDescent="0.35">
      <c r="A3" s="5" t="s">
        <v>2</v>
      </c>
      <c r="B3" s="5" t="s">
        <v>3</v>
      </c>
      <c r="C3" t="s">
        <v>50</v>
      </c>
      <c r="D3" t="s">
        <v>49</v>
      </c>
    </row>
    <row r="4" spans="1:4" x14ac:dyDescent="0.35">
      <c r="A4" t="s">
        <v>38</v>
      </c>
      <c r="C4" s="4">
        <v>3000</v>
      </c>
      <c r="D4" s="4">
        <v>36000</v>
      </c>
    </row>
    <row r="5" spans="1:4" x14ac:dyDescent="0.35">
      <c r="C5" s="4"/>
      <c r="D5" s="4"/>
    </row>
    <row r="6" spans="1:4" x14ac:dyDescent="0.35">
      <c r="A6" t="s">
        <v>27</v>
      </c>
      <c r="C6" s="4">
        <v>3000</v>
      </c>
      <c r="D6" s="4">
        <v>36000</v>
      </c>
    </row>
    <row r="7" spans="1:4" x14ac:dyDescent="0.35">
      <c r="C7" s="4"/>
      <c r="D7" s="4"/>
    </row>
    <row r="8" spans="1:4" x14ac:dyDescent="0.35">
      <c r="A8" t="s">
        <v>20</v>
      </c>
      <c r="C8" s="4">
        <v>1500</v>
      </c>
      <c r="D8" s="4">
        <v>9000</v>
      </c>
    </row>
    <row r="9" spans="1:4" x14ac:dyDescent="0.35">
      <c r="C9" s="4"/>
      <c r="D9" s="4"/>
    </row>
    <row r="10" spans="1:4" x14ac:dyDescent="0.35">
      <c r="A10" t="s">
        <v>13</v>
      </c>
      <c r="C10" s="4">
        <v>2000</v>
      </c>
      <c r="D10" s="4">
        <v>24000</v>
      </c>
    </row>
    <row r="11" spans="1:4" x14ac:dyDescent="0.35">
      <c r="C11" s="4"/>
      <c r="D11" s="4"/>
    </row>
    <row r="12" spans="1:4" x14ac:dyDescent="0.35">
      <c r="A12" t="s">
        <v>32</v>
      </c>
      <c r="C12" s="4">
        <v>2000</v>
      </c>
      <c r="D12" s="4">
        <v>12000</v>
      </c>
    </row>
    <row r="13" spans="1:4" x14ac:dyDescent="0.35">
      <c r="C13" s="4"/>
      <c r="D13" s="4"/>
    </row>
    <row r="14" spans="1:4" x14ac:dyDescent="0.35">
      <c r="A14" t="s">
        <v>34</v>
      </c>
      <c r="C14" s="4">
        <v>1500</v>
      </c>
      <c r="D14" s="4">
        <v>4500</v>
      </c>
    </row>
    <row r="15" spans="1:4" x14ac:dyDescent="0.35">
      <c r="C15" s="4"/>
      <c r="D15" s="4"/>
    </row>
    <row r="16" spans="1:4" x14ac:dyDescent="0.35">
      <c r="A16" t="s">
        <v>51</v>
      </c>
      <c r="C16" s="4">
        <v>13000</v>
      </c>
      <c r="D16" s="4">
        <v>121500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A903-9CE5-4EE1-A523-59DB7D5EF50B}">
  <dimension ref="A1:T25"/>
  <sheetViews>
    <sheetView workbookViewId="0">
      <selection sqref="A1:I5"/>
    </sheetView>
  </sheetViews>
  <sheetFormatPr defaultRowHeight="14.5" x14ac:dyDescent="0.35"/>
  <sheetData>
    <row r="1" spans="1:20" x14ac:dyDescent="0.35">
      <c r="A1" s="6"/>
      <c r="B1" s="6"/>
      <c r="C1" s="6"/>
      <c r="D1" s="6"/>
      <c r="E1" s="6"/>
      <c r="F1" s="6"/>
      <c r="G1" s="6"/>
      <c r="H1" s="6"/>
      <c r="I1" s="6"/>
      <c r="J1" s="6"/>
      <c r="K1" s="6"/>
      <c r="L1" s="6"/>
      <c r="M1" s="6"/>
      <c r="N1" s="6"/>
      <c r="O1" s="6"/>
      <c r="P1" s="6"/>
      <c r="Q1" s="6"/>
      <c r="R1" s="6"/>
      <c r="S1" s="6"/>
      <c r="T1" s="6"/>
    </row>
    <row r="2" spans="1:20" x14ac:dyDescent="0.35">
      <c r="A2" s="6"/>
      <c r="B2" s="6"/>
      <c r="C2" s="6"/>
      <c r="D2" s="6"/>
      <c r="E2" s="6"/>
      <c r="F2" s="6"/>
      <c r="G2" s="6"/>
      <c r="H2" s="6"/>
      <c r="I2" s="6"/>
      <c r="J2" s="6"/>
      <c r="K2" s="6"/>
      <c r="L2" s="6"/>
      <c r="M2" s="6"/>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x14ac:dyDescent="0.35">
      <c r="A4" s="6"/>
      <c r="B4" s="6"/>
      <c r="C4" s="6"/>
      <c r="D4" s="6"/>
      <c r="E4" s="6"/>
      <c r="F4" s="6"/>
      <c r="G4" s="6"/>
      <c r="H4" s="6"/>
      <c r="I4" s="6"/>
      <c r="J4" s="6"/>
      <c r="K4" s="6"/>
      <c r="L4" s="6"/>
      <c r="M4" s="6"/>
      <c r="N4" s="6"/>
      <c r="O4" s="6"/>
      <c r="P4" s="6"/>
      <c r="Q4" s="6"/>
      <c r="R4" s="6"/>
      <c r="S4" s="6"/>
      <c r="T4" s="6"/>
    </row>
    <row r="5" spans="1:20" x14ac:dyDescent="0.35">
      <c r="A5" s="6"/>
      <c r="B5" s="6"/>
      <c r="C5" s="6"/>
      <c r="D5" s="6"/>
      <c r="E5" s="6"/>
      <c r="F5" s="6"/>
      <c r="G5" s="6"/>
      <c r="H5" s="6"/>
      <c r="I5" s="6"/>
      <c r="J5" s="6"/>
      <c r="K5" s="6"/>
      <c r="L5" s="6"/>
      <c r="M5" s="6"/>
      <c r="N5" s="6"/>
      <c r="O5" s="6"/>
      <c r="P5" s="6"/>
      <c r="Q5" s="6"/>
      <c r="R5" s="6"/>
      <c r="S5" s="6"/>
      <c r="T5" s="6"/>
    </row>
    <row r="6" spans="1:20" x14ac:dyDescent="0.35">
      <c r="A6" s="6"/>
      <c r="B6" s="6"/>
      <c r="C6" s="6"/>
      <c r="D6" s="6"/>
      <c r="E6" s="6"/>
      <c r="F6" s="6"/>
      <c r="G6" s="6"/>
      <c r="H6" s="6"/>
      <c r="I6" s="6"/>
      <c r="J6" s="6"/>
      <c r="K6" s="6"/>
      <c r="L6" s="6"/>
      <c r="M6" s="6"/>
      <c r="N6" s="6"/>
      <c r="O6" s="6"/>
      <c r="P6" s="6"/>
      <c r="Q6" s="6"/>
      <c r="R6" s="6"/>
      <c r="S6" s="6"/>
      <c r="T6" s="6"/>
    </row>
    <row r="7" spans="1:20" x14ac:dyDescent="0.35">
      <c r="A7" s="6"/>
      <c r="B7" s="6"/>
      <c r="C7" s="6"/>
      <c r="D7" s="6"/>
      <c r="E7" s="6"/>
      <c r="F7" s="6"/>
      <c r="G7" s="6"/>
      <c r="H7" s="6"/>
      <c r="I7" s="6"/>
      <c r="J7" s="6"/>
      <c r="K7" s="6"/>
      <c r="L7" s="6"/>
      <c r="M7" s="6"/>
      <c r="N7" s="6"/>
      <c r="O7" s="6"/>
      <c r="P7" s="6"/>
      <c r="Q7" s="6"/>
      <c r="R7" s="6"/>
      <c r="S7" s="6"/>
      <c r="T7" s="6"/>
    </row>
    <row r="8" spans="1:20" x14ac:dyDescent="0.35">
      <c r="A8" s="6"/>
      <c r="B8" s="6"/>
      <c r="C8" s="6"/>
      <c r="D8" s="6"/>
      <c r="E8" s="6"/>
      <c r="F8" s="6"/>
      <c r="G8" s="6"/>
      <c r="H8" s="6"/>
      <c r="I8" s="6"/>
      <c r="J8" s="6"/>
      <c r="K8" s="6"/>
      <c r="L8" s="6"/>
      <c r="M8" s="6"/>
      <c r="N8" s="6"/>
      <c r="O8" s="6"/>
      <c r="P8" s="6"/>
      <c r="Q8" s="6"/>
      <c r="R8" s="6"/>
      <c r="S8" s="6"/>
      <c r="T8" s="6"/>
    </row>
    <row r="9" spans="1:20" x14ac:dyDescent="0.35">
      <c r="A9" s="6"/>
      <c r="B9" s="6"/>
      <c r="C9" s="6"/>
      <c r="D9" s="6"/>
      <c r="E9" s="6"/>
      <c r="F9" s="6"/>
      <c r="G9" s="6"/>
      <c r="H9" s="6"/>
      <c r="I9" s="6"/>
      <c r="J9" s="6"/>
      <c r="K9" s="6"/>
      <c r="L9" s="6"/>
      <c r="M9" s="6"/>
      <c r="N9" s="6"/>
      <c r="O9" s="6"/>
      <c r="P9" s="6"/>
      <c r="Q9" s="6"/>
      <c r="R9" s="6"/>
      <c r="S9" s="6"/>
      <c r="T9" s="6"/>
    </row>
    <row r="10" spans="1:20" x14ac:dyDescent="0.35">
      <c r="A10" s="6"/>
      <c r="B10" s="6"/>
      <c r="C10" s="6"/>
      <c r="D10" s="6"/>
      <c r="E10" s="6"/>
      <c r="F10" s="6"/>
      <c r="G10" s="6"/>
      <c r="H10" s="6"/>
      <c r="I10" s="6"/>
      <c r="J10" s="6"/>
      <c r="K10" s="6"/>
      <c r="L10" s="6"/>
      <c r="M10" s="6"/>
      <c r="N10" s="6"/>
      <c r="O10" s="6"/>
      <c r="P10" s="6"/>
      <c r="Q10" s="6"/>
      <c r="R10" s="6"/>
      <c r="S10" s="6"/>
      <c r="T10" s="6"/>
    </row>
    <row r="11" spans="1:20" x14ac:dyDescent="0.35">
      <c r="A11" s="6"/>
      <c r="B11" s="6"/>
      <c r="C11" s="6"/>
      <c r="D11" s="6"/>
      <c r="E11" s="6"/>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6"/>
      <c r="C13" s="6"/>
      <c r="D13" s="6"/>
      <c r="E13" s="6"/>
      <c r="F13" s="6"/>
      <c r="G13" s="6"/>
      <c r="H13" s="6"/>
      <c r="I13" s="6"/>
      <c r="J13" s="6"/>
      <c r="K13" s="6"/>
      <c r="L13" s="6"/>
      <c r="M13" s="6"/>
      <c r="N13" s="6"/>
      <c r="O13" s="6"/>
      <c r="P13" s="6"/>
      <c r="Q13" s="6"/>
      <c r="R13" s="6"/>
      <c r="S13" s="6"/>
      <c r="T13" s="6"/>
    </row>
    <row r="14" spans="1:20" x14ac:dyDescent="0.35">
      <c r="A14" s="6"/>
      <c r="B14" s="6"/>
      <c r="C14" s="6"/>
      <c r="D14" s="6"/>
      <c r="E14" s="6"/>
      <c r="F14" s="6"/>
      <c r="G14" s="6"/>
      <c r="H14" s="6"/>
      <c r="I14" s="6"/>
      <c r="J14" s="6"/>
      <c r="K14" s="6"/>
      <c r="L14" s="6"/>
      <c r="M14" s="6"/>
      <c r="N14" s="6"/>
      <c r="O14" s="6"/>
      <c r="P14" s="6"/>
      <c r="Q14" s="6"/>
      <c r="R14" s="6"/>
      <c r="S14" s="6"/>
      <c r="T14" s="6"/>
    </row>
    <row r="15" spans="1:20" x14ac:dyDescent="0.35">
      <c r="A15" s="6"/>
      <c r="B15" s="6"/>
      <c r="C15" s="6"/>
      <c r="D15" s="6"/>
      <c r="E15" s="6"/>
      <c r="F15" s="6"/>
      <c r="G15" s="6"/>
      <c r="H15" s="6"/>
      <c r="I15" s="6"/>
      <c r="J15" s="6"/>
      <c r="K15" s="6"/>
      <c r="L15" s="6"/>
      <c r="M15" s="6"/>
      <c r="N15" s="6"/>
      <c r="O15" s="6"/>
      <c r="P15" s="6"/>
      <c r="Q15" s="6"/>
      <c r="R15" s="6"/>
      <c r="S15" s="6"/>
      <c r="T15" s="6"/>
    </row>
    <row r="16" spans="1:20" x14ac:dyDescent="0.35">
      <c r="A16" s="6"/>
      <c r="B16" s="6"/>
      <c r="C16" s="6"/>
      <c r="D16" s="6"/>
      <c r="E16" s="6"/>
      <c r="F16" s="6"/>
      <c r="G16" s="6"/>
      <c r="H16" s="6"/>
      <c r="I16" s="6"/>
      <c r="J16" s="6"/>
      <c r="K16" s="6"/>
      <c r="L16" s="6"/>
      <c r="M16" s="6"/>
      <c r="N16" s="6"/>
      <c r="O16" s="6"/>
      <c r="P16" s="6"/>
      <c r="Q16" s="6"/>
      <c r="R16" s="6"/>
      <c r="S16" s="6"/>
      <c r="T16" s="6"/>
    </row>
    <row r="17" spans="1:20" x14ac:dyDescent="0.35">
      <c r="A17" s="6"/>
      <c r="B17" s="6"/>
      <c r="C17" s="6"/>
      <c r="D17" s="6"/>
      <c r="E17" s="6"/>
      <c r="F17" s="6"/>
      <c r="G17" s="6"/>
      <c r="H17" s="6"/>
      <c r="I17" s="6"/>
      <c r="J17" s="6"/>
      <c r="K17" s="6"/>
      <c r="L17" s="6"/>
      <c r="M17" s="6"/>
      <c r="N17" s="6"/>
      <c r="O17" s="6"/>
      <c r="P17" s="6"/>
      <c r="Q17" s="6"/>
      <c r="R17" s="6"/>
      <c r="S17" s="6"/>
      <c r="T17" s="6"/>
    </row>
    <row r="18" spans="1:20" x14ac:dyDescent="0.35">
      <c r="A18" s="6"/>
      <c r="B18" s="6"/>
      <c r="C18" s="6"/>
      <c r="D18" s="6"/>
      <c r="E18" s="6"/>
      <c r="F18" s="6"/>
      <c r="G18" s="6"/>
      <c r="H18" s="6"/>
      <c r="I18" s="6"/>
      <c r="J18" s="6"/>
      <c r="K18" s="6"/>
      <c r="L18" s="6"/>
      <c r="M18" s="6"/>
      <c r="N18" s="6"/>
      <c r="O18" s="6"/>
      <c r="P18" s="6"/>
      <c r="Q18" s="6"/>
      <c r="R18" s="6"/>
      <c r="S18" s="6"/>
      <c r="T18" s="6"/>
    </row>
    <row r="19" spans="1:20" x14ac:dyDescent="0.35">
      <c r="A19" s="6"/>
      <c r="B19" s="6"/>
      <c r="C19" s="6"/>
      <c r="D19" s="6"/>
      <c r="E19" s="6"/>
      <c r="F19" s="6"/>
      <c r="G19" s="6"/>
      <c r="H19" s="6"/>
      <c r="I19" s="6"/>
      <c r="J19" s="6"/>
      <c r="K19" s="6"/>
      <c r="L19" s="6"/>
      <c r="M19" s="6"/>
      <c r="N19" s="6"/>
      <c r="O19" s="6"/>
      <c r="P19" s="6"/>
      <c r="Q19" s="6"/>
      <c r="R19" s="6"/>
      <c r="S19" s="6"/>
      <c r="T19" s="6"/>
    </row>
    <row r="20" spans="1:20" x14ac:dyDescent="0.35">
      <c r="A20" s="6"/>
      <c r="B20" s="6"/>
      <c r="C20" s="6"/>
      <c r="D20" s="6"/>
      <c r="E20" s="6"/>
      <c r="F20" s="6"/>
      <c r="G20" s="6"/>
      <c r="H20" s="6"/>
      <c r="I20" s="6"/>
      <c r="J20" s="6"/>
      <c r="K20" s="6"/>
      <c r="L20" s="6"/>
      <c r="M20" s="6"/>
      <c r="N20" s="6"/>
      <c r="O20" s="6"/>
      <c r="P20" s="6"/>
      <c r="Q20" s="6"/>
      <c r="R20" s="6"/>
      <c r="S20" s="6"/>
      <c r="T20" s="6"/>
    </row>
    <row r="21" spans="1:20" x14ac:dyDescent="0.35">
      <c r="A21" s="6"/>
      <c r="B21" s="6"/>
      <c r="C21" s="6"/>
      <c r="D21" s="6"/>
      <c r="E21" s="6"/>
      <c r="F21" s="6"/>
      <c r="G21" s="6"/>
      <c r="H21" s="6"/>
      <c r="I21" s="6"/>
      <c r="J21" s="6"/>
      <c r="K21" s="6"/>
      <c r="L21" s="6"/>
      <c r="M21" s="6"/>
      <c r="N21" s="6"/>
      <c r="O21" s="6"/>
      <c r="P21" s="6"/>
      <c r="Q21" s="6"/>
      <c r="R21" s="6"/>
      <c r="S21" s="6"/>
      <c r="T21" s="6"/>
    </row>
    <row r="22" spans="1:20" x14ac:dyDescent="0.35">
      <c r="A22" s="6"/>
      <c r="B22" s="6"/>
      <c r="C22" s="6"/>
      <c r="D22" s="6"/>
      <c r="E22" s="6"/>
      <c r="F22" s="6"/>
      <c r="G22" s="6"/>
      <c r="H22" s="6"/>
      <c r="I22" s="6"/>
      <c r="J22" s="6"/>
      <c r="K22" s="6"/>
      <c r="L22" s="6"/>
      <c r="M22" s="6"/>
      <c r="N22" s="6"/>
      <c r="O22" s="6"/>
      <c r="P22" s="6"/>
      <c r="Q22" s="6"/>
      <c r="R22" s="6"/>
      <c r="S22" s="6"/>
      <c r="T22" s="6"/>
    </row>
    <row r="23" spans="1:20" x14ac:dyDescent="0.35">
      <c r="A23" s="6"/>
      <c r="B23" s="6"/>
      <c r="C23" s="6"/>
      <c r="D23" s="6"/>
      <c r="E23" s="6"/>
      <c r="F23" s="6"/>
      <c r="G23" s="6"/>
      <c r="H23" s="6"/>
      <c r="I23" s="6"/>
      <c r="J23" s="6"/>
      <c r="K23" s="6"/>
      <c r="L23" s="6"/>
      <c r="M23" s="6"/>
      <c r="N23" s="6"/>
      <c r="O23" s="6"/>
      <c r="P23" s="6"/>
      <c r="Q23" s="6"/>
      <c r="R23" s="6"/>
      <c r="S23" s="6"/>
      <c r="T23" s="6"/>
    </row>
    <row r="24" spans="1:20" x14ac:dyDescent="0.35">
      <c r="A24" s="6"/>
      <c r="B24" s="6"/>
      <c r="C24" s="6"/>
      <c r="D24" s="6"/>
      <c r="E24" s="6"/>
      <c r="F24" s="6"/>
      <c r="G24" s="6"/>
      <c r="H24" s="6"/>
      <c r="I24" s="6"/>
      <c r="J24" s="6"/>
      <c r="K24" s="6"/>
      <c r="L24" s="6"/>
      <c r="M24" s="6"/>
      <c r="N24" s="6"/>
      <c r="O24" s="6"/>
      <c r="P24" s="6"/>
      <c r="Q24" s="6"/>
      <c r="R24" s="6"/>
      <c r="S24" s="6"/>
      <c r="T24" s="6"/>
    </row>
    <row r="25" spans="1:20" x14ac:dyDescent="0.35">
      <c r="A25" s="6"/>
      <c r="B25" s="6"/>
      <c r="C25" s="6"/>
      <c r="D25" s="6"/>
      <c r="E25" s="6"/>
      <c r="F25" s="6"/>
      <c r="G25" s="6"/>
      <c r="H25" s="6"/>
      <c r="I25" s="6"/>
      <c r="J25" s="6"/>
      <c r="K25" s="6"/>
      <c r="L25" s="6"/>
      <c r="M25" s="6"/>
      <c r="N25" s="6"/>
      <c r="O25" s="6"/>
      <c r="P25" s="6"/>
      <c r="Q25" s="6"/>
      <c r="R25" s="6"/>
      <c r="S25" s="6"/>
      <c r="T2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C121-B140-4096-9969-5148A22D673C}">
  <dimension ref="A1:L11"/>
  <sheetViews>
    <sheetView zoomScale="85" zoomScaleNormal="85" workbookViewId="0">
      <selection activeCell="H4" sqref="H4"/>
    </sheetView>
  </sheetViews>
  <sheetFormatPr defaultRowHeight="14.5" x14ac:dyDescent="0.35"/>
  <cols>
    <col min="1" max="1" width="12.26953125" customWidth="1"/>
    <col min="2" max="2" width="10.54296875" customWidth="1"/>
    <col min="3" max="3" width="15.36328125" customWidth="1"/>
    <col min="4" max="4" width="9" customWidth="1"/>
    <col min="6" max="6" width="17.90625" customWidth="1"/>
    <col min="7" max="7" width="18.54296875" customWidth="1"/>
    <col min="8" max="8" width="16.6328125" customWidth="1"/>
    <col min="9" max="9" width="14.453125" customWidth="1"/>
    <col min="10" max="10" width="13.26953125" customWidth="1"/>
    <col min="11" max="11" width="10.453125" customWidth="1"/>
    <col min="12" max="12" width="17.453125" customWidth="1"/>
  </cols>
  <sheetData>
    <row r="1" spans="1:12" ht="29" x14ac:dyDescent="0.35">
      <c r="A1" s="1" t="s">
        <v>0</v>
      </c>
      <c r="B1" s="1" t="s">
        <v>1</v>
      </c>
      <c r="C1" s="1" t="s">
        <v>2</v>
      </c>
      <c r="D1" s="1" t="s">
        <v>3</v>
      </c>
      <c r="E1" s="1" t="s">
        <v>4</v>
      </c>
      <c r="F1" s="1" t="s">
        <v>5</v>
      </c>
      <c r="G1" s="1" t="s">
        <v>6</v>
      </c>
      <c r="H1" s="1" t="s">
        <v>7</v>
      </c>
      <c r="I1" s="1" t="s">
        <v>8</v>
      </c>
      <c r="J1" s="1" t="s">
        <v>9</v>
      </c>
      <c r="K1" s="1" t="s">
        <v>10</v>
      </c>
      <c r="L1" s="1" t="s">
        <v>11</v>
      </c>
    </row>
    <row r="2" spans="1:12" ht="29" x14ac:dyDescent="0.35">
      <c r="A2" s="2" t="s">
        <v>12</v>
      </c>
      <c r="B2" s="3">
        <v>45660</v>
      </c>
      <c r="C2" s="2" t="s">
        <v>13</v>
      </c>
      <c r="D2" s="2" t="s">
        <v>14</v>
      </c>
      <c r="E2" s="2">
        <v>28</v>
      </c>
      <c r="F2" s="2" t="s">
        <v>15</v>
      </c>
      <c r="G2" s="2">
        <v>12</v>
      </c>
      <c r="H2" s="2" t="s">
        <v>16</v>
      </c>
      <c r="I2" s="2" t="s">
        <v>17</v>
      </c>
      <c r="J2" s="2">
        <v>2000</v>
      </c>
      <c r="K2" s="2">
        <v>24000</v>
      </c>
      <c r="L2" s="2" t="s">
        <v>18</v>
      </c>
    </row>
    <row r="3" spans="1:12" ht="29" x14ac:dyDescent="0.35">
      <c r="A3" s="2" t="s">
        <v>19</v>
      </c>
      <c r="B3" s="3">
        <v>45662</v>
      </c>
      <c r="C3" s="2" t="s">
        <v>20</v>
      </c>
      <c r="D3" s="2" t="s">
        <v>21</v>
      </c>
      <c r="E3" s="2">
        <v>35</v>
      </c>
      <c r="F3" s="2" t="s">
        <v>22</v>
      </c>
      <c r="G3" s="2">
        <v>6</v>
      </c>
      <c r="H3" s="2" t="s">
        <v>23</v>
      </c>
      <c r="I3" s="2" t="s">
        <v>24</v>
      </c>
      <c r="J3" s="2">
        <v>1500</v>
      </c>
      <c r="K3" s="2">
        <v>9000</v>
      </c>
      <c r="L3" s="2" t="s">
        <v>25</v>
      </c>
    </row>
    <row r="4" spans="1:12" ht="29" x14ac:dyDescent="0.35">
      <c r="A4" s="2" t="s">
        <v>26</v>
      </c>
      <c r="B4" s="3">
        <v>45664</v>
      </c>
      <c r="C4" s="2" t="s">
        <v>27</v>
      </c>
      <c r="D4" s="2" t="s">
        <v>14</v>
      </c>
      <c r="E4" s="2">
        <v>22</v>
      </c>
      <c r="F4" s="2" t="s">
        <v>28</v>
      </c>
      <c r="G4" s="2">
        <v>12</v>
      </c>
      <c r="H4" s="2" t="s">
        <v>16</v>
      </c>
      <c r="I4" s="2" t="s">
        <v>29</v>
      </c>
      <c r="J4" s="2">
        <v>3000</v>
      </c>
      <c r="K4" s="2">
        <v>36000</v>
      </c>
      <c r="L4" s="2" t="s">
        <v>30</v>
      </c>
    </row>
    <row r="5" spans="1:12" ht="29" x14ac:dyDescent="0.35">
      <c r="A5" s="2" t="s">
        <v>31</v>
      </c>
      <c r="B5" s="3">
        <v>45667</v>
      </c>
      <c r="C5" s="2" t="s">
        <v>32</v>
      </c>
      <c r="D5" s="2" t="s">
        <v>21</v>
      </c>
      <c r="E5" s="2">
        <v>30</v>
      </c>
      <c r="F5" s="2" t="s">
        <v>15</v>
      </c>
      <c r="G5" s="2">
        <v>6</v>
      </c>
      <c r="H5" s="2" t="s">
        <v>23</v>
      </c>
      <c r="I5" s="2" t="s">
        <v>17</v>
      </c>
      <c r="J5" s="2">
        <v>2000</v>
      </c>
      <c r="K5" s="2">
        <v>12000</v>
      </c>
      <c r="L5" s="2" t="s">
        <v>18</v>
      </c>
    </row>
    <row r="6" spans="1:12" ht="29" x14ac:dyDescent="0.35">
      <c r="A6" s="2" t="s">
        <v>33</v>
      </c>
      <c r="B6" s="3">
        <v>45669</v>
      </c>
      <c r="C6" s="2" t="s">
        <v>34</v>
      </c>
      <c r="D6" s="2" t="s">
        <v>14</v>
      </c>
      <c r="E6" s="2">
        <v>40</v>
      </c>
      <c r="F6" s="2" t="s">
        <v>22</v>
      </c>
      <c r="G6" s="2">
        <v>3</v>
      </c>
      <c r="H6" s="2" t="s">
        <v>35</v>
      </c>
      <c r="I6" s="2" t="s">
        <v>24</v>
      </c>
      <c r="J6" s="2">
        <v>1500</v>
      </c>
      <c r="K6" s="2">
        <v>4500</v>
      </c>
      <c r="L6" s="2" t="s">
        <v>36</v>
      </c>
    </row>
    <row r="7" spans="1:12" ht="29" x14ac:dyDescent="0.35">
      <c r="A7" s="2" t="s">
        <v>37</v>
      </c>
      <c r="B7" s="3">
        <v>45672</v>
      </c>
      <c r="C7" s="2" t="s">
        <v>38</v>
      </c>
      <c r="D7" s="2" t="s">
        <v>21</v>
      </c>
      <c r="E7" s="2">
        <v>26</v>
      </c>
      <c r="F7" s="2" t="s">
        <v>28</v>
      </c>
      <c r="G7" s="2">
        <v>12</v>
      </c>
      <c r="H7" s="2" t="s">
        <v>35</v>
      </c>
      <c r="I7" s="2" t="s">
        <v>39</v>
      </c>
      <c r="J7" s="2">
        <v>3000</v>
      </c>
      <c r="K7" s="2">
        <v>36000</v>
      </c>
      <c r="L7" s="2" t="s">
        <v>30</v>
      </c>
    </row>
    <row r="8" spans="1:12" ht="29" x14ac:dyDescent="0.35">
      <c r="A8" s="2" t="s">
        <v>40</v>
      </c>
      <c r="B8" s="3">
        <v>45675</v>
      </c>
      <c r="C8" s="2" t="s">
        <v>41</v>
      </c>
      <c r="D8" s="2" t="s">
        <v>14</v>
      </c>
      <c r="E8" s="2">
        <v>33</v>
      </c>
      <c r="F8" s="2" t="s">
        <v>15</v>
      </c>
      <c r="G8" s="2">
        <v>6</v>
      </c>
      <c r="H8" s="2" t="s">
        <v>16</v>
      </c>
      <c r="I8" s="2" t="s">
        <v>42</v>
      </c>
      <c r="J8" s="2">
        <v>2000</v>
      </c>
      <c r="K8" s="2">
        <v>12000</v>
      </c>
      <c r="L8" s="2" t="s">
        <v>25</v>
      </c>
    </row>
    <row r="9" spans="1:12" ht="29" x14ac:dyDescent="0.35">
      <c r="A9" s="2" t="s">
        <v>43</v>
      </c>
      <c r="B9" s="3">
        <v>45677</v>
      </c>
      <c r="C9" s="2" t="s">
        <v>44</v>
      </c>
      <c r="D9" s="2" t="s">
        <v>21</v>
      </c>
      <c r="E9" s="2">
        <v>29</v>
      </c>
      <c r="F9" s="2" t="s">
        <v>22</v>
      </c>
      <c r="G9" s="2">
        <v>3</v>
      </c>
      <c r="H9" s="2" t="s">
        <v>23</v>
      </c>
      <c r="I9" s="2" t="s">
        <v>17</v>
      </c>
      <c r="J9" s="2">
        <v>1500</v>
      </c>
      <c r="K9" s="2">
        <v>4500</v>
      </c>
      <c r="L9" s="2" t="s">
        <v>18</v>
      </c>
    </row>
    <row r="10" spans="1:12" ht="29" x14ac:dyDescent="0.35">
      <c r="A10" s="2" t="s">
        <v>45</v>
      </c>
      <c r="B10" s="3">
        <v>45682</v>
      </c>
      <c r="C10" s="2" t="s">
        <v>46</v>
      </c>
      <c r="D10" s="2" t="s">
        <v>14</v>
      </c>
      <c r="E10" s="2">
        <v>24</v>
      </c>
      <c r="F10" s="2" t="s">
        <v>28</v>
      </c>
      <c r="G10" s="2">
        <v>12</v>
      </c>
      <c r="H10" s="2" t="s">
        <v>35</v>
      </c>
      <c r="I10" s="2" t="s">
        <v>29</v>
      </c>
      <c r="J10" s="2">
        <v>3000</v>
      </c>
      <c r="K10" s="2">
        <v>36000</v>
      </c>
      <c r="L10" s="2" t="s">
        <v>30</v>
      </c>
    </row>
    <row r="11" spans="1:12" ht="29" x14ac:dyDescent="0.35">
      <c r="A11" s="2" t="s">
        <v>47</v>
      </c>
      <c r="B11" s="3">
        <v>45687</v>
      </c>
      <c r="C11" s="2" t="s">
        <v>48</v>
      </c>
      <c r="D11" s="2" t="s">
        <v>21</v>
      </c>
      <c r="E11" s="2">
        <v>31</v>
      </c>
      <c r="F11" s="2" t="s">
        <v>15</v>
      </c>
      <c r="G11" s="2">
        <v>6</v>
      </c>
      <c r="H11" s="2" t="s">
        <v>16</v>
      </c>
      <c r="I11" s="2" t="s">
        <v>39</v>
      </c>
      <c r="J11" s="2">
        <v>2000</v>
      </c>
      <c r="K11" s="2">
        <v>12000</v>
      </c>
      <c r="L11" s="2" t="s">
        <v>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jain</dc:creator>
  <cp:lastModifiedBy>disha jain</cp:lastModifiedBy>
  <dcterms:created xsi:type="dcterms:W3CDTF">2025-07-11T16:18:39Z</dcterms:created>
  <dcterms:modified xsi:type="dcterms:W3CDTF">2025-07-11T16:45:52Z</dcterms:modified>
</cp:coreProperties>
</file>